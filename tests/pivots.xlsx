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elgilmore/Code/calamine/tests/"/>
    </mc:Choice>
  </mc:AlternateContent>
  <xr:revisionPtr revIDLastSave="0" documentId="13_ncr:1_{C7F20162-1C5A-824E-8AA1-05ED4117733A}" xr6:coauthVersionLast="47" xr6:coauthVersionMax="47" xr10:uidLastSave="{00000000-0000-0000-0000-000000000000}"/>
  <bookViews>
    <workbookView xWindow="19160" yWindow="3260" windowWidth="28040" windowHeight="17440" xr2:uid="{B0C1159D-33EE-DB47-84B2-FAAEB7E2FFDF}"/>
  </bookViews>
  <sheets>
    <sheet name="PivotSheet1" sheetId="2" r:id="rId1"/>
    <sheet name="PivotSheet2" sheetId="3" r:id="rId2"/>
    <sheet name="PivotSheet3" sheetId="4" r:id="rId3"/>
    <sheet name="PivotSheet4" sheetId="5" r:id="rId4"/>
    <sheet name="DataSheet" sheetId="1" r:id="rId5"/>
    <sheet name="DataSheet2" sheetId="6" r:id="rId6"/>
  </sheets>
  <calcPr calcId="191029"/>
  <pivotCaches>
    <pivotCache cacheId="65" r:id="rId7"/>
    <pivotCache cacheId="64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6" l="1"/>
  <c r="G10" i="6"/>
  <c r="G9" i="6"/>
  <c r="G8" i="6"/>
  <c r="G7" i="6"/>
  <c r="G6" i="6"/>
  <c r="J5" i="6"/>
  <c r="G5" i="6"/>
  <c r="G4" i="6"/>
  <c r="G3" i="6"/>
  <c r="G2" i="6"/>
  <c r="G3" i="1"/>
  <c r="G4" i="1"/>
  <c r="G5" i="1"/>
  <c r="G6" i="1"/>
  <c r="G7" i="1"/>
  <c r="G8" i="1"/>
  <c r="G9" i="1"/>
  <c r="G10" i="1"/>
  <c r="G11" i="1"/>
  <c r="G2" i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58720B-4D24-7E4D-8E44-07F2F02842F1}" keepAlive="1" name="Query - Visible" description="Connection to the 'Visible' query in the workbook." type="5" refreshedVersion="8" background="1" saveData="1">
    <dbPr connection="Provider=Microsoft.Mashup.OleDb.1;Data Source=$Workbook$;Location=Visible;Extended Properties=&quot;&quot;" command="SELECT * FROM [Visible]"/>
  </connection>
</connections>
</file>

<file path=xl/sharedStrings.xml><?xml version="1.0" encoding="utf-8"?>
<sst xmlns="http://schemas.openxmlformats.org/spreadsheetml/2006/main" count="101" uniqueCount="36">
  <si>
    <t>Id</t>
  </si>
  <si>
    <t>Category</t>
  </si>
  <si>
    <t>Name</t>
  </si>
  <si>
    <t>Value</t>
  </si>
  <si>
    <t>Size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</si>
  <si>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</si>
  <si>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</si>
  <si>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</si>
  <si>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</si>
  <si>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</si>
  <si>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</si>
  <si>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</si>
  <si>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</si>
  <si>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</si>
  <si>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</si>
  <si>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blue</t>
  </si>
  <si>
    <t>yellow</t>
  </si>
  <si>
    <t>Row Labels</t>
  </si>
  <si>
    <t>Grand Total</t>
  </si>
  <si>
    <t>Sum of Size</t>
  </si>
  <si>
    <t>Average of Value</t>
  </si>
  <si>
    <t>Count of Size</t>
  </si>
  <si>
    <t>Column Labels</t>
  </si>
  <si>
    <t>Date</t>
  </si>
  <si>
    <t>Misc</t>
  </si>
  <si>
    <t>(Multiple Items)</t>
  </si>
  <si>
    <t>Null</t>
  </si>
  <si>
    <t>IsBlue</t>
  </si>
  <si>
    <t>Value / Size</t>
  </si>
  <si>
    <t>(All)</t>
  </si>
  <si>
    <t>Sum of Value x 2</t>
  </si>
  <si>
    <t>&lt;------------ calculated field</t>
  </si>
  <si>
    <t>Group1</t>
  </si>
  <si>
    <t>Count of Value2</t>
  </si>
  <si>
    <t>&lt;--------  grouped field as value</t>
  </si>
  <si>
    <t>Sum of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</si>
</sst>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el gilmore" refreshedDate="45925.303640972219" createdVersion="8" refreshedVersion="8" minRefreshableVersion="3" recordCount="10" xr:uid="{C535D174-66BE-3E4F-B85C-BE4EF95CB91D}">
  <cacheSource type="worksheet">
    <worksheetSource ref="A1:J11" sheet="DataSheet"/>
  </cacheSource>
  <cacheFields count="12">
    <cacheField name="Id" numFmtId="0">
      <sharedItems containsSemiMixedTypes="0" containsString="0" containsNumber="1" containsInteger="1" minValue="1" maxValue="10"/>
    </cacheField>
    <cacheField name="Name" numFmtId="0">
      <sharedItems count="10">
        <s v="a"/>
        <s v="b"/>
        <s v="c"/>
        <s v="d"/>
        <s v="e"/>
        <s v="f"/>
        <s v="g"/>
        <s v="h"/>
        <s v="i"/>
        <s v="j"/>
      </sharedItems>
    </cacheField>
    <cacheField name="Category" numFmtId="0">
      <sharedItems count="2">
        <s v="blue"/>
        <s v="yellow"/>
      </sharedItems>
    </cacheField>
    <cacheField name="Value" numFmtId="0">
      <sharedItems containsSemiMixedTypes="0" containsString="0" containsNumber="1" containsInteger="1" minValue="5" maxValue="20" count="4">
        <n v="10"/>
        <n v="20"/>
        <n v="15"/>
        <n v="5"/>
      </sharedItems>
      <fieldGroup par="11"/>
    </cacheField>
    <cacheField name="Size" numFmtId="0">
      <sharedItems containsSemiMixedTypes="0" containsString="0" containsNumber="1" minValue="0" maxValue="4.0309999999999997" count="10">
        <n v="1.78"/>
        <n v="2.012"/>
        <n v="3.121"/>
        <n v="1.052"/>
        <n v="3.1019999999999999"/>
        <n v="1.02"/>
        <n v="0"/>
        <n v="4.0309999999999997"/>
        <n v="1.0421"/>
        <n v="1.20452"/>
      </sharedItems>
    </cacheField>
    <cacheField name="Date" numFmtId="14">
      <sharedItems containsSemiMixedTypes="0" containsNonDate="0" containsDate="1" containsString="0" minDate="1999-01-01T00:00:00" maxDate="2024-12-02T00:00:00" count="9">
        <d v="2024-11-01T00:00:00"/>
        <d v="2024-01-04T00:00:00"/>
        <d v="2024-01-31T00:00:00"/>
        <d v="2024-01-21T00:00:00"/>
        <d v="2024-02-01T00:00:00"/>
        <d v="2024-01-01T00:00:00"/>
        <d v="2024-01-11T00:00:00"/>
        <d v="1999-01-01T00:00:00"/>
        <d v="2024-12-01T00:00:00"/>
      </sharedItems>
    </cacheField>
    <cacheField name="Value / Size" numFmtId="0">
      <sharedItems containsMixedTypes="1" containsNumber="1" minValue="3.2237266279819474" maxValue="19.011406844106464"/>
    </cacheField>
    <cacheField name="IsBlue" numFmtId="14">
      <sharedItems/>
    </cacheField>
    <cacheField name="Null" numFmtId="14">
      <sharedItems containsNonDate="0" containsString="0" containsBlank="1"/>
    </cacheField>
    <cacheField name="Misc" numFmtId="0">
      <sharedItems containsDate="1" containsBlank="1" containsMixedTypes="1" minDate="2024-02-01T00:00:00" maxDate="1899-12-31T00:53:04"/>
    </cacheField>
    <cacheField name="Value x 2" numFmtId="0" formula="'Value / Size'* 2" databaseField="0"/>
    <cacheField name="Value2" numFmtId="0" databaseField="0">
      <fieldGroup base="3">
        <discretePr count="4">
          <x v="1"/>
          <x v="1"/>
          <x v="1"/>
          <x v="0"/>
        </discretePr>
        <groupItems count="2">
          <n v="5"/>
          <s v="Group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el gilmore" refreshedDate="45985.414996412037" createdVersion="8" refreshedVersion="8" minRefreshableVersion="3" recordCount="10" xr:uid="{823ACCA9-2AA8-E746-A301-4BC8322E99F8}">
  <cacheSource type="worksheet">
    <worksheetSource ref="A1:J11" sheet="DataSheet2"/>
  </cacheSource>
  <cacheFields count="10">
    <cacheField name="Id" numFmtId="0">
      <sharedItems containsSemiMixedTypes="0" containsString="0" containsNumber="1" containsInteger="1" minValue="1" maxValue="10"/>
    </cacheField>
    <cacheField name="Name" numFmtId="0">
      <sharedItems/>
    </cacheField>
    <cacheField name="Category" numFmtId="0">
      <sharedItems count="2">
        <s v="blue"/>
        <s v="yellow"/>
      </sharedItems>
    </cacheField>
    <cacheField name="Value" numFmtId="0">
      <sharedItems containsSemiMixedTypes="0" containsString="0" containsNumber="1" containsInteger="1" minValue="5" maxValue="20"/>
    </cacheField>
    <cacheField name="Size" numFmtId="0">
      <sharedItems containsSemiMixedTypes="0" containsString="0" containsNumber="1" minValue="0" maxValue="4.0309999999999997"/>
    </cacheField>
    <cacheField name="Date" numFmtId="14">
      <sharedItems containsSemiMixedTypes="0" containsNonDate="0" containsDate="1" containsString="0" minDate="1999-01-01T00:00:00" maxDate="2024-12-02T00:00:00"/>
    </cacheField>
    <cacheField name="Value / Size" numFmtId="0">
      <sharedItems containsMixedTypes="1" containsNumber="1" minValue="1.2403870007442324" maxValue="14.394012090970156"/>
    </cacheField>
    <cacheField name="IsBlue" numFmtId="14">
      <sharedItems/>
    </cacheField>
    <cacheField name="Null" numFmtId="14">
      <sharedItems containsNonDate="0" containsString="0" containsBlank="1"/>
    </cacheField>
    <cacheField name="Misc" numFmtId="0">
      <sharedItems containsDate="1" containsBlank="1" containsMixedTypes="1" minDate="2024-02-01T00:00:00" maxDate="1899-12-31T00:53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n v="1"/>
    <x v="0"/>
    <x v="0"/>
    <x v="0"/>
    <x v="0"/>
    <x v="0"/>
    <n v="5.6179775280898872"/>
    <b v="1"/>
    <m/>
    <m/>
  </r>
  <r>
    <n v="2"/>
    <x v="1"/>
    <x v="0"/>
    <x v="1"/>
    <x v="1"/>
    <x v="1"/>
    <n v="9.9403578528827037"/>
    <b v="1"/>
    <m/>
    <n v="2.012"/>
  </r>
  <r>
    <n v="3"/>
    <x v="2"/>
    <x v="0"/>
    <x v="2"/>
    <x v="2"/>
    <x v="2"/>
    <n v="4.8061518743992311"/>
    <b v="1"/>
    <m/>
    <d v="2024-02-01T00:00:00"/>
  </r>
  <r>
    <n v="4"/>
    <x v="3"/>
    <x v="0"/>
    <x v="1"/>
    <x v="3"/>
    <x v="3"/>
    <n v="19.011406844106464"/>
    <b v="1"/>
    <m/>
    <e v="#DIV/0!"/>
  </r>
  <r>
    <n v="5"/>
    <x v="4"/>
    <x v="0"/>
    <x v="0"/>
    <x v="4"/>
    <x v="4"/>
    <n v="3.2237266279819474"/>
    <b v="1"/>
    <m/>
    <n v="3.1019999999999999"/>
  </r>
  <r>
    <n v="6"/>
    <x v="5"/>
    <x v="1"/>
    <x v="3"/>
    <x v="5"/>
    <x v="5"/>
    <n v="4.9019607843137258"/>
    <b v="0"/>
    <m/>
    <n v="20"/>
  </r>
  <r>
    <n v="7"/>
    <x v="6"/>
    <x v="1"/>
    <x v="0"/>
    <x v="6"/>
    <x v="6"/>
    <e v="#DIV/0!"/>
    <b v="0"/>
    <m/>
    <b v="1"/>
  </r>
  <r>
    <n v="8"/>
    <x v="7"/>
    <x v="1"/>
    <x v="2"/>
    <x v="7"/>
    <x v="7"/>
    <n v="3.7211610022326971"/>
    <b v="0"/>
    <m/>
    <n v="5"/>
  </r>
  <r>
    <n v="9"/>
    <x v="8"/>
    <x v="1"/>
    <x v="2"/>
    <x v="8"/>
    <x v="8"/>
    <n v="14.394012090970156"/>
    <b v="0"/>
    <m/>
    <n v="10"/>
  </r>
  <r>
    <n v="10"/>
    <x v="9"/>
    <x v="1"/>
    <x v="3"/>
    <x v="9"/>
    <x v="5"/>
    <n v="4.1510311161292464"/>
    <b v="0"/>
    <m/>
    <s v="blu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n v="1"/>
    <s v="a"/>
    <x v="0"/>
    <n v="20"/>
    <n v="1.78"/>
    <d v="2024-11-01T00:00:00"/>
    <n v="11.235955056179774"/>
    <b v="1"/>
    <m/>
    <m/>
  </r>
  <r>
    <n v="2"/>
    <s v="b"/>
    <x v="0"/>
    <n v="20"/>
    <n v="2.012"/>
    <d v="2024-01-04T00:00:00"/>
    <n v="9.9403578528827037"/>
    <b v="1"/>
    <m/>
    <n v="2.012"/>
  </r>
  <r>
    <n v="3"/>
    <s v="c"/>
    <x v="0"/>
    <n v="20"/>
    <n v="3.121"/>
    <d v="2024-01-31T00:00:00"/>
    <n v="6.4082024991989748"/>
    <b v="1"/>
    <m/>
    <d v="2024-02-01T00:00:00"/>
  </r>
  <r>
    <n v="4"/>
    <s v="d"/>
    <x v="0"/>
    <n v="10"/>
    <n v="1.052"/>
    <d v="2024-01-21T00:00:00"/>
    <n v="9.5057034220532319"/>
    <b v="1"/>
    <m/>
    <e v="#DIV/0!"/>
  </r>
  <r>
    <n v="5"/>
    <s v="e"/>
    <x v="0"/>
    <n v="5"/>
    <n v="3.1019999999999999"/>
    <d v="2024-02-01T00:00:00"/>
    <n v="1.6118633139909737"/>
    <b v="1"/>
    <m/>
    <n v="3.1019999999999999"/>
  </r>
  <r>
    <n v="6"/>
    <s v="f"/>
    <x v="1"/>
    <n v="10"/>
    <n v="1.02"/>
    <d v="2024-01-01T00:00:00"/>
    <n v="9.8039215686274517"/>
    <b v="0"/>
    <m/>
    <n v="20"/>
  </r>
  <r>
    <n v="7"/>
    <s v="g"/>
    <x v="1"/>
    <n v="5"/>
    <n v="0"/>
    <d v="2024-01-11T00:00:00"/>
    <e v="#DIV/0!"/>
    <b v="0"/>
    <m/>
    <b v="1"/>
  </r>
  <r>
    <n v="8"/>
    <s v="h"/>
    <x v="1"/>
    <n v="5"/>
    <n v="4.0309999999999997"/>
    <d v="1999-01-01T00:00:00"/>
    <n v="1.2403870007442324"/>
    <b v="0"/>
    <m/>
    <n v="5"/>
  </r>
  <r>
    <n v="9"/>
    <s v="i"/>
    <x v="1"/>
    <n v="15"/>
    <n v="1.0421"/>
    <d v="2024-12-01T00:00:00"/>
    <n v="14.394012090970156"/>
    <b v="0"/>
    <m/>
    <n v="10"/>
  </r>
  <r>
    <n v="10"/>
    <s v="j"/>
    <x v="1"/>
    <n v="5"/>
    <n v="1.20452"/>
    <d v="2024-01-01T00:00:00"/>
    <n v="4.1510311161292464"/>
    <b v="0"/>
    <m/>
    <s v="blu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812D53-A4C4-8C41-92AB-7401E334F510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5" firstHeaderRow="0" firstDataRow="1" firstDataCol="1" rowPageCount="1" colPageCount="1"/>
  <pivotFields count="12">
    <pivotField showAll="0"/>
    <pivotField showAll="0"/>
    <pivotField axis="axisRow" showAll="0">
      <items count="3">
        <item x="0"/>
        <item x="1"/>
        <item t="default"/>
      </items>
    </pivotField>
    <pivotField dataField="1" showAll="0">
      <items count="5">
        <item x="3"/>
        <item x="0"/>
        <item x="2"/>
        <item x="1"/>
        <item t="default"/>
      </items>
    </pivotField>
    <pivotField dataField="1" showAll="0"/>
    <pivotField axis="axisPage" numFmtId="14" multipleItemSelectionAllowed="1" showAll="0">
      <items count="10">
        <item x="7"/>
        <item x="5"/>
        <item h="1" x="1"/>
        <item h="1" x="6"/>
        <item h="1" x="3"/>
        <item h="1" x="2"/>
        <item h="1" x="4"/>
        <item h="1" x="0"/>
        <item h="1" x="8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showAll="0">
      <items count="3">
        <item x="0"/>
        <item x="1"/>
        <item t="default"/>
      </items>
    </pivotField>
  </pivotFields>
  <rowFields count="1">
    <field x="2"/>
  </rowFields>
  <rowItems count="2"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hier="-1"/>
  </pageFields>
  <dataFields count="4">
    <dataField name="Sum of Size" fld="4" baseField="0" baseItem="0"/>
    <dataField name="Average of Value" fld="3" subtotal="average" baseField="0" baseItem="0"/>
    <dataField name="Count of Size" fld="4" subtotal="count" baseField="0" baseItem="0"/>
    <dataField name="Sum of Value x 2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EEFC0A-A4C8-3849-8A15-494E25A1739B}" name="PivotTable2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1" firstHeaderRow="1" firstDataRow="2" firstDataCol="1" rowPageCount="1" colPageCount="1"/>
  <pivotFields count="12">
    <pivotField showAll="0"/>
    <pivotField axis="axisPage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Col" showAll="0">
      <items count="3">
        <item x="0"/>
        <item x="1"/>
        <item t="default"/>
      </items>
    </pivotField>
    <pivotField axis="axisRow" showAll="0">
      <items count="5">
        <item x="3"/>
        <item x="0"/>
        <item x="2"/>
        <item x="1"/>
        <item t="default"/>
      </items>
    </pivotField>
    <pivotField dataField="1" showAll="0"/>
    <pivotField numFmtId="14" showAll="0"/>
    <pivotField showAll="0"/>
    <pivotField showAll="0"/>
    <pivotField showAll="0"/>
    <pivotField showAll="0"/>
    <pivotField dragToRow="0" dragToCol="0" dragToPage="0" showAll="0" defaultSubtotal="0"/>
    <pivotField axis="axisRow" showAll="0">
      <items count="3">
        <item x="0"/>
        <item x="1"/>
        <item t="default"/>
      </items>
    </pivotField>
  </pivotFields>
  <rowFields count="2">
    <field x="11"/>
    <field x="3"/>
  </rowFields>
  <rowItems count="7">
    <i>
      <x/>
    </i>
    <i r="1">
      <x/>
    </i>
    <i>
      <x v="1"/>
    </i>
    <i r="1">
      <x v="1"/>
    </i>
    <i r="1">
      <x v="2"/>
    </i>
    <i r="1">
      <x v="3"/>
    </i>
    <i t="grand">
      <x/>
    </i>
  </rowItems>
  <colFields count="1">
    <field x="2"/>
  </colFields>
  <colItems count="3">
    <i>
      <x/>
    </i>
    <i>
      <x v="1"/>
    </i>
    <i t="grand">
      <x/>
    </i>
  </colItems>
  <pageFields count="1">
    <pageField fld="1" hier="-1"/>
  </pageFields>
  <dataFields count="1">
    <dataField name="Sum of Size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BD01C9-9EE0-7246-B5FE-6615AC2FE614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 rowPageCount="1" colPageCount="1"/>
  <pivotFields count="12"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3">
        <item x="0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>
      <items count="11">
        <item x="6"/>
        <item x="5"/>
        <item x="8"/>
        <item x="3"/>
        <item x="9"/>
        <item x="0"/>
        <item x="1"/>
        <item x="4"/>
        <item x="2"/>
        <item x="7"/>
        <item t="default"/>
      </items>
    </pivotField>
    <pivotField axis="axisPage" numFmtId="14" multipleItemSelectionAllowed="1" showAll="0">
      <items count="10">
        <item x="7"/>
        <item x="5"/>
        <item h="1" x="1"/>
        <item h="1" x="6"/>
        <item h="1" x="3"/>
        <item h="1" x="2"/>
        <item h="1" x="4"/>
        <item h="1" x="0"/>
        <item h="1" x="8"/>
        <item t="default"/>
      </items>
    </pivotField>
    <pivotField showAll="0"/>
    <pivotField showAll="0"/>
    <pivotField showAll="0"/>
    <pivotField showAll="0"/>
    <pivotField dragToRow="0" dragToCol="0" dragToPage="0" showAll="0" defaultSubtotal="0"/>
    <pivotField dataField="1" showAll="0">
      <items count="3">
        <item x="0"/>
        <item x="1"/>
        <item t="default"/>
      </items>
    </pivotField>
  </pivotFields>
  <rowFields count="1">
    <field x="1"/>
  </rowFields>
  <rowItems count="4">
    <i>
      <x v="5"/>
    </i>
    <i>
      <x v="7"/>
    </i>
    <i>
      <x v="9"/>
    </i>
    <i t="grand">
      <x/>
    </i>
  </rowItems>
  <colItems count="1">
    <i/>
  </colItems>
  <pageFields count="1">
    <pageField fld="5" hier="-1"/>
  </pageFields>
  <dataFields count="1">
    <dataField name="Count of Value2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27EDA5-4AA7-E94E-8CA2-EECF7E18E7ED}" name="PivotTable6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:B9" firstHeaderRow="1" firstDataRow="1" firstDataCol="1"/>
  <pivotFields count="12">
    <pivotField showAll="0"/>
    <pivotField showAll="0"/>
    <pivotField axis="axisRow" showAll="0">
      <items count="3">
        <item x="0"/>
        <item x="1"/>
        <item t="default"/>
      </items>
    </pivotField>
    <pivotField dataField="1" showAll="0">
      <items count="5">
        <item x="3"/>
        <item x="0"/>
        <item x="2"/>
        <item x="1"/>
        <item t="default"/>
      </items>
    </pivotField>
    <pivotField showAll="0"/>
    <pivotField numFmtId="14" showAll="0"/>
    <pivotField showAll="0"/>
    <pivotField showAll="0"/>
    <pivotField showAll="0"/>
    <pivotField showAll="0"/>
    <pivotField dragToRow="0" dragToCol="0" dragToPage="0" showAll="0" defaultSubtotal="0"/>
    <pivotField showAll="0" defaultSubtotal="0">
      <items count="2">
        <item x="0"/>
        <item x="1"/>
      </items>
    </pivotField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Valu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472F44-EE1F-C542-B642-A08CF695847D}" name="PivotTable5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4" firstHeaderRow="1" firstDataRow="1" firstDataCol="1"/>
  <pivotFields count="10">
    <pivotField showAll="0"/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  <pivotField numFmtId="14"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Valu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D472D-C7DD-5A4C-BF76-DA38C4FDEA79}">
  <dimension ref="A1:F5"/>
  <sheetViews>
    <sheetView tabSelected="1" workbookViewId="0">
      <pivotSelection pane="bottomRight" click="1" r:id="rId1">
        <pivotArea field="5" type="button" dataOnly="0" labelOnly="1" outline="0" axis="axisPage" fieldPosition="0"/>
      </pivotSelection>
    </sheetView>
  </sheetViews>
  <sheetFormatPr baseColWidth="10" defaultRowHeight="16" x14ac:dyDescent="0.2"/>
  <cols>
    <col min="1" max="1" width="13" bestFit="1" customWidth="1"/>
    <col min="2" max="2" width="17" bestFit="1" customWidth="1"/>
    <col min="3" max="3" width="15.33203125" bestFit="1" customWidth="1"/>
    <col min="4" max="4" width="11.83203125" bestFit="1" customWidth="1"/>
    <col min="5" max="5" width="15.1640625" bestFit="1" customWidth="1"/>
  </cols>
  <sheetData>
    <row r="1" spans="1:6" x14ac:dyDescent="0.2">
      <c r="A1" s="1" t="s">
        <v>23</v>
      </c>
      <c r="B1" t="s">
        <v>25</v>
      </c>
    </row>
    <row r="3" spans="1:6" x14ac:dyDescent="0.2">
      <c r="A3" s="1" t="s">
        <v>17</v>
      </c>
      <c r="B3" t="s">
        <v>19</v>
      </c>
      <c r="C3" t="s">
        <v>20</v>
      </c>
      <c r="D3" t="s">
        <v>21</v>
      </c>
      <c r="E3" t="s">
        <v>30</v>
      </c>
      <c r="F3" t="s">
        <v>31</v>
      </c>
    </row>
    <row r="4" spans="1:6" x14ac:dyDescent="0.2">
      <c r="A4" s="2" t="s">
        <v>16</v>
      </c>
      <c r="B4">
        <v>6.2555199999999989</v>
      </c>
      <c r="C4">
        <v>8.3333333333333339</v>
      </c>
      <c r="D4">
        <v>3</v>
      </c>
      <c r="E4">
        <v>25.54830580535134</v>
      </c>
    </row>
    <row r="5" spans="1:6" x14ac:dyDescent="0.2">
      <c r="A5" s="2" t="s">
        <v>18</v>
      </c>
      <c r="B5">
        <v>6.2555199999999989</v>
      </c>
      <c r="C5">
        <v>8.3333333333333339</v>
      </c>
      <c r="D5">
        <v>3</v>
      </c>
      <c r="E5">
        <v>25.54830580535134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54587-B2BE-314B-A2F7-88DC75DC4086}">
  <dimension ref="A1:D11"/>
  <sheetViews>
    <sheetView workbookViewId="0">
      <selection activeCell="A7" sqref="A7"/>
    </sheetView>
  </sheetViews>
  <sheetFormatPr baseColWidth="10" defaultRowHeight="16" x14ac:dyDescent="0.2"/>
  <cols>
    <col min="1" max="1" width="13" bestFit="1" customWidth="1"/>
    <col min="2" max="2" width="15.5" bestFit="1" customWidth="1"/>
    <col min="3" max="3" width="8.1640625" bestFit="1" customWidth="1"/>
  </cols>
  <sheetData>
    <row r="1" spans="1:4" x14ac:dyDescent="0.2">
      <c r="A1" s="1" t="s">
        <v>2</v>
      </c>
      <c r="B1" t="s">
        <v>29</v>
      </c>
    </row>
    <row r="3" spans="1:4" x14ac:dyDescent="0.2">
      <c r="A3" s="1" t="s">
        <v>19</v>
      </c>
      <c r="B3" s="1" t="s">
        <v>22</v>
      </c>
    </row>
    <row r="4" spans="1:4" x14ac:dyDescent="0.2">
      <c r="A4" s="1" t="s">
        <v>17</v>
      </c>
      <c r="B4" t="s">
        <v>15</v>
      </c>
      <c r="C4" t="s">
        <v>16</v>
      </c>
      <c r="D4" t="s">
        <v>18</v>
      </c>
    </row>
    <row r="5" spans="1:4" x14ac:dyDescent="0.2">
      <c r="A5" s="2">
        <v>5</v>
      </c>
      <c r="C5">
        <v>2.2245200000000001</v>
      </c>
      <c r="D5">
        <v>2.2245200000000001</v>
      </c>
    </row>
    <row r="6" spans="1:4" x14ac:dyDescent="0.2">
      <c r="A6" s="4">
        <v>5</v>
      </c>
      <c r="C6">
        <v>2.2245200000000001</v>
      </c>
      <c r="D6">
        <v>2.2245200000000001</v>
      </c>
    </row>
    <row r="7" spans="1:4" x14ac:dyDescent="0.2">
      <c r="A7" s="2" t="s">
        <v>32</v>
      </c>
      <c r="B7">
        <v>11.067</v>
      </c>
      <c r="C7">
        <v>5.0731000000000002</v>
      </c>
      <c r="D7">
        <v>16.1401</v>
      </c>
    </row>
    <row r="8" spans="1:4" x14ac:dyDescent="0.2">
      <c r="A8" s="4">
        <v>10</v>
      </c>
      <c r="B8">
        <v>4.8819999999999997</v>
      </c>
      <c r="C8">
        <v>0</v>
      </c>
      <c r="D8">
        <v>4.8819999999999997</v>
      </c>
    </row>
    <row r="9" spans="1:4" x14ac:dyDescent="0.2">
      <c r="A9" s="4">
        <v>15</v>
      </c>
      <c r="B9">
        <v>3.121</v>
      </c>
      <c r="C9">
        <v>5.0731000000000002</v>
      </c>
      <c r="D9">
        <v>8.1941000000000006</v>
      </c>
    </row>
    <row r="10" spans="1:4" x14ac:dyDescent="0.2">
      <c r="A10" s="4">
        <v>20</v>
      </c>
      <c r="B10">
        <v>3.0640000000000001</v>
      </c>
      <c r="D10">
        <v>3.0640000000000001</v>
      </c>
    </row>
    <row r="11" spans="1:4" x14ac:dyDescent="0.2">
      <c r="A11" s="2" t="s">
        <v>18</v>
      </c>
      <c r="B11">
        <v>11.067</v>
      </c>
      <c r="C11">
        <v>7.2976200000000002</v>
      </c>
      <c r="D11">
        <v>18.364620000000002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AFD90-4D9E-104E-B9F0-279E16F38CB4}">
  <dimension ref="A1:C7"/>
  <sheetViews>
    <sheetView workbookViewId="0">
      <selection activeCell="C4" sqref="C4"/>
    </sheetView>
  </sheetViews>
  <sheetFormatPr baseColWidth="10" defaultRowHeight="16" x14ac:dyDescent="0.2"/>
  <cols>
    <col min="1" max="1" width="13" bestFit="1" customWidth="1"/>
    <col min="2" max="2" width="17" bestFit="1" customWidth="1"/>
    <col min="3" max="3" width="7.1640625" bestFit="1" customWidth="1"/>
    <col min="4" max="5" width="10.83203125" bestFit="1" customWidth="1"/>
    <col min="6" max="6" width="8.1640625" bestFit="1" customWidth="1"/>
    <col min="7" max="7" width="6.1640625" bestFit="1" customWidth="1"/>
    <col min="8" max="8" width="15.33203125" bestFit="1" customWidth="1"/>
    <col min="9" max="9" width="8.1640625" bestFit="1" customWidth="1"/>
    <col min="10" max="10" width="6.1640625" bestFit="1" customWidth="1"/>
    <col min="11" max="11" width="20" bestFit="1" customWidth="1"/>
    <col min="12" max="12" width="15.5" bestFit="1" customWidth="1"/>
    <col min="13" max="13" width="20.1640625" bestFit="1" customWidth="1"/>
  </cols>
  <sheetData>
    <row r="1" spans="1:3" x14ac:dyDescent="0.2">
      <c r="A1" s="1" t="s">
        <v>23</v>
      </c>
      <c r="B1" t="s">
        <v>25</v>
      </c>
    </row>
    <row r="3" spans="1:3" x14ac:dyDescent="0.2">
      <c r="A3" s="1" t="s">
        <v>17</v>
      </c>
      <c r="B3" t="s">
        <v>33</v>
      </c>
      <c r="C3" t="s">
        <v>34</v>
      </c>
    </row>
    <row r="4" spans="1:3" x14ac:dyDescent="0.2">
      <c r="A4" s="2" t="s">
        <v>10</v>
      </c>
      <c r="B4">
        <v>1</v>
      </c>
    </row>
    <row r="5" spans="1:3" x14ac:dyDescent="0.2">
      <c r="A5" s="2" t="s">
        <v>12</v>
      </c>
      <c r="B5">
        <v>1</v>
      </c>
    </row>
    <row r="6" spans="1:3" x14ac:dyDescent="0.2">
      <c r="A6" s="2" t="s">
        <v>14</v>
      </c>
      <c r="B6">
        <v>1</v>
      </c>
    </row>
    <row r="7" spans="1:3" x14ac:dyDescent="0.2">
      <c r="A7" s="2" t="s">
        <v>18</v>
      </c>
      <c r="B7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4F807-C779-854C-AEC1-C4BCC91C0FED}">
  <dimension ref="A1:B9"/>
  <sheetViews>
    <sheetView workbookViewId="0">
      <selection activeCell="A6" sqref="A6"/>
    </sheetView>
  </sheetViews>
  <sheetFormatPr baseColWidth="10" defaultRowHeight="16" x14ac:dyDescent="0.2"/>
  <cols>
    <col min="1" max="1" width="13" bestFit="1" customWidth="1"/>
    <col min="2" max="2" width="12.1640625" bestFit="1" customWidth="1"/>
  </cols>
  <sheetData>
    <row r="1" spans="1:2" x14ac:dyDescent="0.2">
      <c r="A1" s="1" t="s">
        <v>17</v>
      </c>
      <c r="B1" t="s">
        <v>35</v>
      </c>
    </row>
    <row r="2" spans="1:2" x14ac:dyDescent="0.2">
      <c r="A2" s="2" t="s">
        <v>15</v>
      </c>
      <c r="B2" s="5">
        <v>75</v>
      </c>
    </row>
    <row r="3" spans="1:2" x14ac:dyDescent="0.2">
      <c r="A3" s="2" t="s">
        <v>16</v>
      </c>
      <c r="B3" s="5">
        <v>40</v>
      </c>
    </row>
    <row r="4" spans="1:2" x14ac:dyDescent="0.2">
      <c r="A4" s="2" t="s">
        <v>18</v>
      </c>
      <c r="B4" s="5">
        <v>115</v>
      </c>
    </row>
    <row r="6" spans="1:2" x14ac:dyDescent="0.2">
      <c r="A6" s="1" t="s">
        <v>17</v>
      </c>
      <c r="B6" t="s">
        <v>35</v>
      </c>
    </row>
    <row r="7" spans="1:2" x14ac:dyDescent="0.2">
      <c r="A7" s="2" t="s">
        <v>15</v>
      </c>
      <c r="B7" s="5">
        <v>75</v>
      </c>
    </row>
    <row r="8" spans="1:2" x14ac:dyDescent="0.2">
      <c r="A8" s="2" t="s">
        <v>16</v>
      </c>
      <c r="B8" s="5">
        <v>50</v>
      </c>
    </row>
    <row r="9" spans="1:2" x14ac:dyDescent="0.2">
      <c r="A9" s="2" t="s">
        <v>18</v>
      </c>
      <c r="B9" s="5">
        <v>125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5B1D2-8DC8-E04D-888E-19765C24246D}">
  <dimension ref="A1:J11"/>
  <sheetViews>
    <sheetView workbookViewId="0">
      <selection sqref="A1:J11"/>
    </sheetView>
  </sheetViews>
  <sheetFormatPr baseColWidth="10" defaultRowHeight="16" x14ac:dyDescent="0.2"/>
  <sheetData>
    <row r="1" spans="1:10" x14ac:dyDescent="0.2">
      <c r="A1" t="s">
        <v>0</v>
      </c>
      <c r="B1" t="s">
        <v>2</v>
      </c>
      <c r="C1" t="s">
        <v>1</v>
      </c>
      <c r="D1" t="s">
        <v>3</v>
      </c>
      <c r="E1" t="s">
        <v>4</v>
      </c>
      <c r="F1" t="s">
        <v>23</v>
      </c>
      <c r="G1" t="s">
        <v>28</v>
      </c>
      <c r="H1" t="s">
        <v>27</v>
      </c>
      <c r="I1" t="s">
        <v>26</v>
      </c>
      <c r="J1" t="s">
        <v>24</v>
      </c>
    </row>
    <row r="2" spans="1:10" x14ac:dyDescent="0.2">
      <c r="A2">
        <v>1</v>
      </c>
      <c r="B2" t="s">
        <v>5</v>
      </c>
      <c r="C2" t="s">
        <v>15</v>
      </c>
      <c r="D2">
        <v>10</v>
      </c>
      <c r="E2">
        <v>1.78</v>
      </c>
      <c r="F2" s="3">
        <v>45597</v>
      </c>
      <c r="G2">
        <f>D2/E2</f>
        <v>5.6179775280898872</v>
      </c>
      <c r="H2" s="3" t="b">
        <v>1</v>
      </c>
      <c r="I2" s="3"/>
      <c r="J2" s="3"/>
    </row>
    <row r="3" spans="1:10" x14ac:dyDescent="0.2">
      <c r="A3">
        <v>2</v>
      </c>
      <c r="B3" t="s">
        <v>6</v>
      </c>
      <c r="C3" t="s">
        <v>15</v>
      </c>
      <c r="D3">
        <v>20</v>
      </c>
      <c r="E3">
        <v>2.012</v>
      </c>
      <c r="F3" s="3">
        <v>45295</v>
      </c>
      <c r="G3">
        <f t="shared" ref="G3:G11" si="0">D3/E3</f>
        <v>9.9403578528827037</v>
      </c>
      <c r="H3" s="3" t="b">
        <v>1</v>
      </c>
      <c r="I3" s="3"/>
      <c r="J3">
        <v>2.012</v>
      </c>
    </row>
    <row r="4" spans="1:10" x14ac:dyDescent="0.2">
      <c r="A4">
        <v>3</v>
      </c>
      <c r="B4" t="s">
        <v>7</v>
      </c>
      <c r="C4" t="s">
        <v>15</v>
      </c>
      <c r="D4">
        <v>15</v>
      </c>
      <c r="E4">
        <v>3.121</v>
      </c>
      <c r="F4" s="3">
        <v>45322</v>
      </c>
      <c r="G4">
        <f t="shared" si="0"/>
        <v>4.8061518743992311</v>
      </c>
      <c r="H4" s="3" t="b">
        <v>1</v>
      </c>
      <c r="I4" s="3"/>
      <c r="J4" s="3">
        <v>45323</v>
      </c>
    </row>
    <row r="5" spans="1:10" x14ac:dyDescent="0.2">
      <c r="A5">
        <v>4</v>
      </c>
      <c r="B5" t="s">
        <v>8</v>
      </c>
      <c r="C5" t="s">
        <v>15</v>
      </c>
      <c r="D5">
        <v>20</v>
      </c>
      <c r="E5">
        <v>1.052</v>
      </c>
      <c r="F5" s="3">
        <v>45312</v>
      </c>
      <c r="G5">
        <f t="shared" si="0"/>
        <v>19.011406844106464</v>
      </c>
      <c r="H5" s="3" t="b">
        <v>1</v>
      </c>
      <c r="I5" s="3"/>
      <c r="J5" s="3" t="e">
        <f>1/0</f>
        <v>#DIV/0!</v>
      </c>
    </row>
    <row r="6" spans="1:10" x14ac:dyDescent="0.2">
      <c r="A6">
        <v>5</v>
      </c>
      <c r="B6" t="s">
        <v>9</v>
      </c>
      <c r="C6" t="s">
        <v>15</v>
      </c>
      <c r="D6">
        <v>10</v>
      </c>
      <c r="E6">
        <v>3.1019999999999999</v>
      </c>
      <c r="F6" s="3">
        <v>45323</v>
      </c>
      <c r="G6">
        <f t="shared" si="0"/>
        <v>3.2237266279819474</v>
      </c>
      <c r="H6" s="3" t="b">
        <v>1</v>
      </c>
      <c r="I6" s="3"/>
      <c r="J6">
        <v>3.1019999999999999</v>
      </c>
    </row>
    <row r="7" spans="1:10" x14ac:dyDescent="0.2">
      <c r="A7">
        <v>6</v>
      </c>
      <c r="B7" t="s">
        <v>10</v>
      </c>
      <c r="C7" t="s">
        <v>16</v>
      </c>
      <c r="D7">
        <v>5</v>
      </c>
      <c r="E7">
        <v>1.02</v>
      </c>
      <c r="F7" s="3">
        <v>45292</v>
      </c>
      <c r="G7">
        <f t="shared" si="0"/>
        <v>4.9019607843137258</v>
      </c>
      <c r="H7" s="3" t="b">
        <v>0</v>
      </c>
      <c r="I7" s="3"/>
      <c r="J7">
        <v>20</v>
      </c>
    </row>
    <row r="8" spans="1:10" x14ac:dyDescent="0.2">
      <c r="A8">
        <v>7</v>
      </c>
      <c r="B8" t="s">
        <v>11</v>
      </c>
      <c r="C8" t="s">
        <v>16</v>
      </c>
      <c r="D8">
        <v>10</v>
      </c>
      <c r="E8">
        <v>0</v>
      </c>
      <c r="F8" s="3">
        <v>45302</v>
      </c>
      <c r="G8" t="e">
        <f t="shared" si="0"/>
        <v>#DIV/0!</v>
      </c>
      <c r="H8" s="3" t="b">
        <v>0</v>
      </c>
      <c r="I8" s="3"/>
      <c r="J8" t="b">
        <v>1</v>
      </c>
    </row>
    <row r="9" spans="1:10" x14ac:dyDescent="0.2">
      <c r="A9">
        <v>8</v>
      </c>
      <c r="B9" t="s">
        <v>12</v>
      </c>
      <c r="C9" t="s">
        <v>16</v>
      </c>
      <c r="D9">
        <v>15</v>
      </c>
      <c r="E9">
        <v>4.0309999999999997</v>
      </c>
      <c r="F9" s="3">
        <v>36161</v>
      </c>
      <c r="G9">
        <f t="shared" si="0"/>
        <v>3.7211610022326971</v>
      </c>
      <c r="H9" s="3" t="b">
        <v>0</v>
      </c>
      <c r="I9" s="3"/>
      <c r="J9">
        <v>5</v>
      </c>
    </row>
    <row r="10" spans="1:10" x14ac:dyDescent="0.2">
      <c r="A10">
        <v>9</v>
      </c>
      <c r="B10" t="s">
        <v>13</v>
      </c>
      <c r="C10" t="s">
        <v>16</v>
      </c>
      <c r="D10">
        <v>15</v>
      </c>
      <c r="E10">
        <v>1.0421</v>
      </c>
      <c r="F10" s="3">
        <v>45627</v>
      </c>
      <c r="G10">
        <f t="shared" si="0"/>
        <v>14.394012090970156</v>
      </c>
      <c r="H10" s="3" t="b">
        <v>0</v>
      </c>
      <c r="I10" s="3"/>
      <c r="J10">
        <v>10</v>
      </c>
    </row>
    <row r="11" spans="1:10" x14ac:dyDescent="0.2">
      <c r="A11">
        <v>10</v>
      </c>
      <c r="B11" t="s">
        <v>14</v>
      </c>
      <c r="C11" t="s">
        <v>16</v>
      </c>
      <c r="D11">
        <v>5</v>
      </c>
      <c r="E11">
        <v>1.20452</v>
      </c>
      <c r="F11" s="3">
        <v>45292</v>
      </c>
      <c r="G11">
        <f t="shared" si="0"/>
        <v>4.1510311161292464</v>
      </c>
      <c r="H11" s="3" t="b">
        <v>0</v>
      </c>
      <c r="I11" s="3"/>
      <c r="J11" t="s">
        <v>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D2E4-F94F-1245-BFED-8EFC70543B88}">
  <dimension ref="A1:J11"/>
  <sheetViews>
    <sheetView workbookViewId="0">
      <selection activeCell="D10" sqref="D10"/>
    </sheetView>
  </sheetViews>
  <sheetFormatPr baseColWidth="10" defaultRowHeight="16" x14ac:dyDescent="0.2"/>
  <sheetData>
    <row r="1" spans="1:10" x14ac:dyDescent="0.2">
      <c r="A1" t="s">
        <v>0</v>
      </c>
      <c r="B1" t="s">
        <v>2</v>
      </c>
      <c r="C1" t="s">
        <v>1</v>
      </c>
      <c r="D1" t="s">
        <v>3</v>
      </c>
      <c r="E1" t="s">
        <v>4</v>
      </c>
      <c r="F1" t="s">
        <v>23</v>
      </c>
      <c r="G1" t="s">
        <v>28</v>
      </c>
      <c r="H1" t="s">
        <v>27</v>
      </c>
      <c r="I1" t="s">
        <v>26</v>
      </c>
      <c r="J1" t="s">
        <v>24</v>
      </c>
    </row>
    <row r="2" spans="1:10" x14ac:dyDescent="0.2">
      <c r="A2">
        <v>1</v>
      </c>
      <c r="B2" t="s">
        <v>5</v>
      </c>
      <c r="C2" t="s">
        <v>15</v>
      </c>
      <c r="D2">
        <v>20</v>
      </c>
      <c r="E2">
        <v>1.78</v>
      </c>
      <c r="F2" s="3">
        <v>45597</v>
      </c>
      <c r="G2">
        <f>D2/E2</f>
        <v>11.235955056179774</v>
      </c>
      <c r="H2" s="3" t="b">
        <v>1</v>
      </c>
      <c r="I2" s="3"/>
      <c r="J2" s="3"/>
    </row>
    <row r="3" spans="1:10" x14ac:dyDescent="0.2">
      <c r="A3">
        <v>2</v>
      </c>
      <c r="B3" t="s">
        <v>6</v>
      </c>
      <c r="C3" t="s">
        <v>15</v>
      </c>
      <c r="D3">
        <v>20</v>
      </c>
      <c r="E3">
        <v>2.012</v>
      </c>
      <c r="F3" s="3">
        <v>45295</v>
      </c>
      <c r="G3">
        <f t="shared" ref="G3:G11" si="0">D3/E3</f>
        <v>9.9403578528827037</v>
      </c>
      <c r="H3" s="3" t="b">
        <v>1</v>
      </c>
      <c r="I3" s="3"/>
      <c r="J3">
        <v>2.012</v>
      </c>
    </row>
    <row r="4" spans="1:10" x14ac:dyDescent="0.2">
      <c r="A4">
        <v>3</v>
      </c>
      <c r="B4" t="s">
        <v>7</v>
      </c>
      <c r="C4" t="s">
        <v>15</v>
      </c>
      <c r="D4">
        <v>20</v>
      </c>
      <c r="E4">
        <v>3.121</v>
      </c>
      <c r="F4" s="3">
        <v>45322</v>
      </c>
      <c r="G4">
        <f t="shared" si="0"/>
        <v>6.4082024991989748</v>
      </c>
      <c r="H4" s="3" t="b">
        <v>1</v>
      </c>
      <c r="I4" s="3"/>
      <c r="J4" s="3">
        <v>45323</v>
      </c>
    </row>
    <row r="5" spans="1:10" x14ac:dyDescent="0.2">
      <c r="A5">
        <v>4</v>
      </c>
      <c r="B5" t="s">
        <v>8</v>
      </c>
      <c r="C5" t="s">
        <v>15</v>
      </c>
      <c r="D5">
        <v>10</v>
      </c>
      <c r="E5">
        <v>1.052</v>
      </c>
      <c r="F5" s="3">
        <v>45312</v>
      </c>
      <c r="G5">
        <f t="shared" si="0"/>
        <v>9.5057034220532319</v>
      </c>
      <c r="H5" s="3" t="b">
        <v>1</v>
      </c>
      <c r="I5" s="3"/>
      <c r="J5" s="3" t="e">
        <f>1/0</f>
        <v>#DIV/0!</v>
      </c>
    </row>
    <row r="6" spans="1:10" x14ac:dyDescent="0.2">
      <c r="A6">
        <v>5</v>
      </c>
      <c r="B6" t="s">
        <v>9</v>
      </c>
      <c r="C6" t="s">
        <v>15</v>
      </c>
      <c r="D6">
        <v>5</v>
      </c>
      <c r="E6">
        <v>3.1019999999999999</v>
      </c>
      <c r="F6" s="3">
        <v>45323</v>
      </c>
      <c r="G6">
        <f t="shared" si="0"/>
        <v>1.6118633139909737</v>
      </c>
      <c r="H6" s="3" t="b">
        <v>1</v>
      </c>
      <c r="I6" s="3"/>
      <c r="J6">
        <v>3.1019999999999999</v>
      </c>
    </row>
    <row r="7" spans="1:10" x14ac:dyDescent="0.2">
      <c r="A7">
        <v>6</v>
      </c>
      <c r="B7" t="s">
        <v>10</v>
      </c>
      <c r="C7" t="s">
        <v>16</v>
      </c>
      <c r="D7">
        <v>10</v>
      </c>
      <c r="E7">
        <v>1.02</v>
      </c>
      <c r="F7" s="3">
        <v>45292</v>
      </c>
      <c r="G7">
        <f t="shared" si="0"/>
        <v>9.8039215686274517</v>
      </c>
      <c r="H7" s="3" t="b">
        <v>0</v>
      </c>
      <c r="I7" s="3"/>
      <c r="J7">
        <v>20</v>
      </c>
    </row>
    <row r="8" spans="1:10" x14ac:dyDescent="0.2">
      <c r="A8">
        <v>7</v>
      </c>
      <c r="B8" t="s">
        <v>11</v>
      </c>
      <c r="C8" t="s">
        <v>16</v>
      </c>
      <c r="D8">
        <v>5</v>
      </c>
      <c r="E8">
        <v>0</v>
      </c>
      <c r="F8" s="3">
        <v>45302</v>
      </c>
      <c r="G8" t="e">
        <f t="shared" si="0"/>
        <v>#DIV/0!</v>
      </c>
      <c r="H8" s="3" t="b">
        <v>0</v>
      </c>
      <c r="I8" s="3"/>
      <c r="J8" t="b">
        <v>1</v>
      </c>
    </row>
    <row r="9" spans="1:10" x14ac:dyDescent="0.2">
      <c r="A9">
        <v>8</v>
      </c>
      <c r="B9" t="s">
        <v>12</v>
      </c>
      <c r="C9" t="s">
        <v>16</v>
      </c>
      <c r="D9">
        <v>5</v>
      </c>
      <c r="E9">
        <v>4.0309999999999997</v>
      </c>
      <c r="F9" s="3">
        <v>36161</v>
      </c>
      <c r="G9">
        <f t="shared" si="0"/>
        <v>1.2403870007442324</v>
      </c>
      <c r="H9" s="3" t="b">
        <v>0</v>
      </c>
      <c r="I9" s="3"/>
      <c r="J9">
        <v>5</v>
      </c>
    </row>
    <row r="10" spans="1:10" x14ac:dyDescent="0.2">
      <c r="A10">
        <v>9</v>
      </c>
      <c r="B10" t="s">
        <v>13</v>
      </c>
      <c r="C10" t="s">
        <v>16</v>
      </c>
      <c r="D10">
        <v>15</v>
      </c>
      <c r="E10">
        <v>1.0421</v>
      </c>
      <c r="F10" s="3">
        <v>45627</v>
      </c>
      <c r="G10">
        <f t="shared" si="0"/>
        <v>14.394012090970156</v>
      </c>
      <c r="H10" s="3" t="b">
        <v>0</v>
      </c>
      <c r="I10" s="3"/>
      <c r="J10">
        <v>10</v>
      </c>
    </row>
    <row r="11" spans="1:10" x14ac:dyDescent="0.2">
      <c r="A11">
        <v>10</v>
      </c>
      <c r="B11" t="s">
        <v>14</v>
      </c>
      <c r="C11" t="s">
        <v>16</v>
      </c>
      <c r="D11">
        <v>5</v>
      </c>
      <c r="E11">
        <v>1.20452</v>
      </c>
      <c r="F11" s="3">
        <v>45292</v>
      </c>
      <c r="G11">
        <f t="shared" si="0"/>
        <v>4.1510311161292464</v>
      </c>
      <c r="H11" s="3" t="b">
        <v>0</v>
      </c>
      <c r="I11" s="3"/>
      <c r="J11" t="s">
        <v>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56BA6E-8AD4-A643-BE8B-2E3BD8760B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PivotSheet1</vt:lpstr>
      <vt:lpstr>PivotSheet2</vt:lpstr>
      <vt:lpstr>PivotSheet3</vt:lpstr>
      <vt:lpstr>PivotSheet4</vt:lpstr>
      <vt:lpstr>DataSheet</vt:lpstr>
      <vt:lpstr>DataSheet2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gilmore</dc:creator>
  <cp:lastModifiedBy>joel gilmore</cp:lastModifiedBy>
  <dcterms:created xsi:type="dcterms:W3CDTF">2025-09-13T10:14:06Z</dcterms:created>
  <dcterms:modified xsi:type="dcterms:W3CDTF">2025-11-24T17:58:07Z</dcterms:modified>
</cp:coreProperties>
</file>